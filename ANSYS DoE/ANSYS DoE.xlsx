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<sst xmlns="http://schemas.openxmlformats.org/spreadsheetml/2006/main" count="118" uniqueCount="73">
  <si>
    <t>Run</t>
  </si>
  <si>
    <t>Temperature (K)</t>
  </si>
  <si>
    <t>Flow Rate (dm3/min)</t>
  </si>
  <si>
    <t>Flow Rate (kg/s)</t>
  </si>
  <si>
    <t>Gas Pressure (Pa)</t>
  </si>
  <si>
    <t>Substrate Distance (cm)</t>
  </si>
  <si>
    <t>Student</t>
  </si>
  <si>
    <t>Av Dep Rate</t>
  </si>
  <si>
    <t>Std Dep Rate</t>
  </si>
  <si>
    <t>Uniformity</t>
  </si>
  <si>
    <r>
      <rPr>
        <sz val="11"/>
        <color theme="1"/>
        <rFont val="Times New Roman"/>
        <charset val="134"/>
      </rPr>
      <t>ρ</t>
    </r>
    <r>
      <rPr>
        <sz val="11"/>
        <color theme="1"/>
        <rFont val="Calibri"/>
        <charset val="134"/>
        <scheme val="minor"/>
      </rPr>
      <t>_film</t>
    </r>
  </si>
  <si>
    <t>Porosity</t>
  </si>
  <si>
    <r>
      <t>Dep Rate (</t>
    </r>
    <r>
      <rPr>
        <sz val="11"/>
        <color theme="1"/>
        <rFont val="Times New Roman"/>
        <charset val="134"/>
      </rPr>
      <t>μ</t>
    </r>
    <r>
      <rPr>
        <sz val="11"/>
        <color theme="1"/>
        <rFont val="Calibri"/>
        <charset val="134"/>
        <scheme val="minor"/>
      </rPr>
      <t>m/hr)</t>
    </r>
  </si>
  <si>
    <t>ÁnathemÀ</t>
  </si>
  <si>
    <t>396 (Axial)</t>
  </si>
  <si>
    <t>850 (Axial)</t>
  </si>
  <si>
    <t>0 (Axial)</t>
  </si>
  <si>
    <t>6 (Axial)</t>
  </si>
  <si>
    <t>623 (Center)</t>
  </si>
  <si>
    <t>Time(Hrs)</t>
  </si>
  <si>
    <t>S Area</t>
  </si>
  <si>
    <r>
      <rPr>
        <sz val="11"/>
        <color theme="1"/>
        <rFont val="Times New Roman"/>
        <charset val="134"/>
      </rPr>
      <t>ρ</t>
    </r>
    <r>
      <rPr>
        <sz val="11"/>
        <color theme="1"/>
        <rFont val="Calibri"/>
        <charset val="134"/>
        <scheme val="minor"/>
      </rPr>
      <t>_bulk</t>
    </r>
  </si>
  <si>
    <t>2. Zinc Oxide (ZnO, Solid)</t>
  </si>
  <si>
    <t>Property</t>
  </si>
  <si>
    <t>Value</t>
  </si>
  <si>
    <t>Source</t>
  </si>
  <si>
    <t>Density (kg/m³)</t>
  </si>
  <si>
    <t>NIST</t>
  </si>
  <si>
    <t>Specific Heat (J/(kg·K))</t>
  </si>
  <si>
    <t>NIST (at 300K)</t>
  </si>
  <si>
    <t>Thermal Conductivity (W/(m·K))</t>
  </si>
  <si>
    <t>25–50</t>
  </si>
  <si>
    <t>Depends on crystallinity</t>
  </si>
  <si>
    <t>Viscosity (kg/(m·s))</t>
  </si>
  <si>
    <t>N/A (solid)</t>
  </si>
  <si>
    <t>Not applicable</t>
  </si>
  <si>
    <r>
      <rPr>
        <sz val="12"/>
        <color theme="1"/>
        <rFont val="Times New Roman"/>
        <charset val="134"/>
      </rPr>
      <t xml:space="preserve">Zinc Acetate - </t>
    </r>
    <r>
      <rPr>
        <sz val="12"/>
        <color theme="1"/>
        <rFont val="Times New Roman"/>
        <charset val="134"/>
      </rPr>
      <t>Zn(CH</t>
    </r>
    <r>
      <rPr>
        <vertAlign val="subscript"/>
        <sz val="12"/>
        <color theme="1"/>
        <rFont val="Times New Roman"/>
        <charset val="134"/>
      </rPr>
      <t>3</t>
    </r>
    <r>
      <rPr>
        <sz val="12"/>
        <color theme="1"/>
        <rFont val="Times New Roman"/>
        <charset val="134"/>
      </rPr>
      <t>COO)</t>
    </r>
    <r>
      <rPr>
        <vertAlign val="subscript"/>
        <sz val="12"/>
        <color theme="1"/>
        <rFont val="Times New Roman"/>
        <charset val="134"/>
      </rPr>
      <t>2</t>
    </r>
  </si>
  <si>
    <r>
      <rPr>
        <sz val="12"/>
        <color theme="1"/>
        <rFont val="Times New Roman"/>
        <charset val="134"/>
      </rPr>
      <t xml:space="preserve">Zinc Oxide - </t>
    </r>
    <r>
      <rPr>
        <sz val="12"/>
        <color theme="1"/>
        <rFont val="Times New Roman"/>
        <charset val="134"/>
      </rPr>
      <t>ZnO</t>
    </r>
  </si>
  <si>
    <t>Molecular Weight (kg/kmol)</t>
  </si>
  <si>
    <t>Exact</t>
  </si>
  <si>
    <t>Density kg/m3</t>
  </si>
  <si>
    <t>1. Zinc Acetate (Zn(CH₃COO)₂, Solid)</t>
  </si>
  <si>
    <t>Std. State Enthalpy (J/kmol)</t>
  </si>
  <si>
    <t>-3.48 × 10⁸</t>
  </si>
  <si>
    <t>NIST-JANAF</t>
  </si>
  <si>
    <t>Specific Heat J/(kg k)</t>
  </si>
  <si>
    <t>Std. State Entropy (J/(kmol·K))</t>
  </si>
  <si>
    <t>4.39 × 10⁴</t>
  </si>
  <si>
    <t>Thermal Conductivity W/(m K)</t>
  </si>
  <si>
    <t>Kinetic Theory</t>
  </si>
  <si>
    <t>Notes</t>
  </si>
  <si>
    <t>L-J Characteristic Length (Å)</t>
  </si>
  <si>
    <t>From MD simulations</t>
  </si>
  <si>
    <t>Viscosity kg/(m s)</t>
  </si>
  <si>
    <t>Measured at 25°C</t>
  </si>
  <si>
    <t>L-J Energy Parameter (K)</t>
  </si>
  <si>
    <t>For Zn-O interactions</t>
  </si>
  <si>
    <t>Molecular Weight kg/kmol</t>
  </si>
  <si>
    <t>Estimated for organic salts</t>
  </si>
  <si>
    <t>Standard State Enthalpy J/ (kgmol)</t>
  </si>
  <si>
    <r>
      <rPr>
        <sz val="12"/>
        <color theme="1"/>
        <rFont val="Times New Roman"/>
        <charset val="134"/>
      </rPr>
      <t>-3.505e+08 [</t>
    </r>
    <r>
      <rPr>
        <sz val="12"/>
        <color rgb="FF0000FF"/>
        <rFont val="Times New Roman"/>
        <charset val="134"/>
      </rPr>
      <t>1</t>
    </r>
    <r>
      <rPr>
        <sz val="12"/>
        <color theme="1"/>
        <rFont val="Times New Roman"/>
        <charset val="134"/>
      </rPr>
      <t>]</t>
    </r>
  </si>
  <si>
    <t>Typical for insulators</t>
  </si>
  <si>
    <t>Standard State Entropy J/(kgmol K)</t>
  </si>
  <si>
    <r>
      <rPr>
        <sz val="12"/>
        <color theme="1"/>
        <rFont val="Times New Roman"/>
        <charset val="134"/>
      </rPr>
      <t>43659 [</t>
    </r>
    <r>
      <rPr>
        <sz val="12"/>
        <color rgb="FF0000FF"/>
        <rFont val="Times New Roman"/>
        <charset val="134"/>
      </rPr>
      <t>1</t>
    </r>
    <r>
      <rPr>
        <sz val="12"/>
        <color theme="1"/>
        <rFont val="Times New Roman"/>
        <charset val="134"/>
      </rPr>
      <t>]</t>
    </r>
  </si>
  <si>
    <t xml:space="preserve">L-J CHaracteristic Length </t>
  </si>
  <si>
    <t>Exact formula weight</t>
  </si>
  <si>
    <t>L-J Energy Parameter K</t>
  </si>
  <si>
    <t>-1.050 × 10⁹</t>
  </si>
  <si>
    <t>Estimated from decomposition studies</t>
  </si>
  <si>
    <t>2.00 × 10⁵</t>
  </si>
  <si>
    <t>Approximate for organic solids</t>
  </si>
  <si>
    <t>Estimated from molecular volume</t>
  </si>
  <si>
    <t>Approximate for carboxylates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</si>
</sst>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0.5"/>
      <color theme="1"/>
      <name val="Times New Roman"/>
      <charset val="134"/>
    </font>
    <font>
      <sz val="12"/>
      <color rgb="FFFF0000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0000FF"/>
      <name val="Times New Roman"/>
      <charset val="134"/>
    </font>
    <font>
      <vertAlign val="subscript"/>
      <sz val="12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0" xfId="0" applyFont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 wrapText="1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5" fillId="3" borderId="0" xfId="0" applyFont="1" applyFill="1">
      <alignment vertical="center"/>
    </xf>
    <xf numFmtId="0" fontId="0" fillId="3" borderId="0" xfId="0" applyFill="1">
      <alignment vertical="center"/>
    </xf>
    <xf numFmtId="0" fontId="0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139065</xdr:colOff>
      <xdr:row>32</xdr:row>
      <xdr:rowOff>110490</xdr:rowOff>
    </xdr:from>
    <xdr:ext cx="1903095" cy="427355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 Box 2"/>
            <xdr:cNvSpPr txBox="1"/>
          </xdr:nvSpPr>
          <xdr:spPr>
            <a:xfrm>
              <a:off x="4225290" y="6206490"/>
              <a:ext cx="1903095" cy="42735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charset="0"/>
                        <a:cs typeface="Cambria Math" panose="02040503050406030204" charset="0"/>
                      </a:rPr>
                      <m:t>𝑈𝑛𝑖𝑓𝑜𝑟𝑚𝑖𝑡𝑦</m:t>
                    </m:r>
                    <m:r>
                      <a:rPr lang="en-US" sz="11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sz="1100" i="1">
                        <a:latin typeface="Cambria Math" panose="02040503050406030204" charset="0"/>
                        <a:cs typeface="Cambria Math" panose="02040503050406030204" charset="0"/>
                      </a:rPr>
                      <m:t>1</m:t>
                    </m:r>
                    <m:r>
                      <a:rPr lang="en-US" sz="1100" i="1">
                        <a:latin typeface="Cambria Math" panose="02040503050406030204" charset="0"/>
                        <a:cs typeface="Cambria Math" panose="02040503050406030204" charset="0"/>
                      </a:rPr>
                      <m:t>−</m:t>
                    </m:r>
                    <m:f>
                      <m:fPr>
                        <m:ctrlPr>
                          <a:rPr lang="en-US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𝑑𝑒𝑝</m:t>
                            </m:r>
                            <m: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−</m:t>
                            </m:r>
                            <m: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𝑟𝑎𝑡𝑒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𝑑𝑒𝑝</m:t>
                            </m:r>
                            <m: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−</m:t>
                            </m:r>
                            <m: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𝑟𝑎𝑡𝑒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3" name="Text Box 2"/>
            <xdr:cNvSpPr txBox="1"/>
          </xdr:nvSpPr>
          <xdr:spPr>
            <a:xfrm>
              <a:off x="4225290" y="6206490"/>
              <a:ext cx="1903095" cy="42735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𝑈𝑛𝑖𝑓𝑜𝑟𝑚𝑖𝑡𝑦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𝜎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𝑑𝑒𝑝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𝑟𝑎𝑡𝑒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𝜇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𝑑𝑒𝑝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𝑟𝑎𝑡𝑒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586740</xdr:colOff>
      <xdr:row>32</xdr:row>
      <xdr:rowOff>110490</xdr:rowOff>
    </xdr:from>
    <xdr:ext cx="1463040" cy="410210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 Box 3"/>
            <xdr:cNvSpPr txBox="1"/>
          </xdr:nvSpPr>
          <xdr:spPr>
            <a:xfrm>
              <a:off x="2291715" y="6206490"/>
              <a:ext cx="1463040" cy="41021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charset="0"/>
                        <a:cs typeface="Cambria Math" panose="02040503050406030204" charset="0"/>
                      </a:rPr>
                      <m:t>𝑃𝑜𝑟𝑜𝑠𝑖𝑡𝑦</m:t>
                    </m:r>
                    <m:r>
                      <a:rPr lang="en-US" sz="11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sz="1100" i="1">
                        <a:latin typeface="Cambria Math" panose="02040503050406030204" charset="0"/>
                        <a:cs typeface="Cambria Math" panose="02040503050406030204" charset="0"/>
                      </a:rPr>
                      <m:t>1</m:t>
                    </m:r>
                    <m:r>
                      <a:rPr lang="en-US" sz="1100" i="1">
                        <a:latin typeface="Cambria Math" panose="02040503050406030204" charset="0"/>
                        <a:cs typeface="Cambria Math" panose="02040503050406030204" charset="0"/>
                      </a:rPr>
                      <m:t>−</m:t>
                    </m:r>
                    <m:f>
                      <m:fPr>
                        <m:ctrlPr>
                          <a:rPr lang="en-US" sz="11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𝜌</m:t>
                            </m:r>
                          </m:e>
                          <m:sub>
                            <m: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𝑓𝑖𝑙𝑚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𝜌</m:t>
                            </m:r>
                          </m:e>
                          <m:sub>
                            <m:r>
                              <a:rPr lang="en-US" sz="11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𝑏𝑢𝑙𝑘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4" name="Text Box 3"/>
            <xdr:cNvSpPr txBox="1"/>
          </xdr:nvSpPr>
          <xdr:spPr>
            <a:xfrm>
              <a:off x="2291715" y="6206490"/>
              <a:ext cx="1463040" cy="41021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𝑃𝑜𝑟𝑜𝑠𝑖𝑡𝑦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𝜌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𝑓𝑖𝑙𝑚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𝜌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sz="1100">
                  <a:latin typeface="Cambria Math" panose="02040503050406030204" charset="0"/>
                  <a:cs typeface="Cambria Math" panose="02040503050406030204" charset="0"/>
                </a:rPr>
                <a:t>𝑏𝑢𝑙𝑘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tabSelected="1" workbookViewId="0">
      <selection activeCell="N13" sqref="N13"/>
    </sheetView>
  </sheetViews>
  <sheetFormatPr defaultColWidth="9.14285714285714" defaultRowHeight="15"/>
  <cols>
    <col min="1" max="1" width="10.2857142857143" customWidth="1"/>
    <col min="2" max="2" width="15.2857142857143" customWidth="1"/>
    <col min="3" max="3" width="19.4285714285714" customWidth="1"/>
    <col min="4" max="4" width="16.2857142857143" style="10" customWidth="1"/>
    <col min="5" max="5" width="17.4285714285714" customWidth="1"/>
    <col min="6" max="6" width="21.5714285714286" customWidth="1"/>
    <col min="7" max="7" width="13" style="11" customWidth="1"/>
    <col min="8" max="8" width="12.8571428571429" customWidth="1"/>
    <col min="9" max="9" width="13.1428571428571" customWidth="1"/>
    <col min="10" max="10" width="11.2857142857143" customWidth="1"/>
    <col min="11" max="11" width="8.85714285714286" customWidth="1"/>
    <col min="13" max="13" width="36" style="1" customWidth="1"/>
    <col min="14" max="14" width="24.7142857142857" style="2" customWidth="1"/>
    <col min="15" max="15" width="38.8571428571429" customWidth="1"/>
    <col min="17" max="17" width="29.7142857142857" customWidth="1"/>
    <col min="18" max="18" width="27" customWidth="1"/>
    <col min="19" max="19" width="16.2857142857143" customWidth="1"/>
    <col min="21" max="21" width="36" customWidth="1"/>
    <col min="22" max="22" width="11.5714285714286" customWidth="1"/>
    <col min="23" max="23" width="38.8571428571429" customWidth="1"/>
  </cols>
  <sheetData>
    <row r="1" spans="1:14">
      <c r="A1" s="12" t="s">
        <v>0</v>
      </c>
      <c r="B1" s="12" t="s">
        <v>1</v>
      </c>
      <c r="C1" s="12" t="s">
        <v>2</v>
      </c>
      <c r="D1" s="13" t="s">
        <v>3</v>
      </c>
      <c r="E1" s="12" t="s">
        <v>4</v>
      </c>
      <c r="F1" s="12" t="s">
        <v>5</v>
      </c>
      <c r="G1" s="12" t="s">
        <v>6</v>
      </c>
      <c r="H1" s="14" t="s">
        <v>7</v>
      </c>
      <c r="I1" s="14" t="s">
        <v>8</v>
      </c>
      <c r="J1" s="14" t="s">
        <v>9</v>
      </c>
      <c r="K1" s="17" t="s">
        <v>10</v>
      </c>
      <c r="L1" s="18" t="s">
        <v>11</v>
      </c>
      <c r="M1" s="19" t="s">
        <v>12</v>
      </c>
      <c r="N1"/>
    </row>
    <row r="2" spans="1:14">
      <c r="A2" s="15">
        <v>1</v>
      </c>
      <c r="B2" s="15">
        <v>473</v>
      </c>
      <c r="C2" s="15">
        <v>0.7</v>
      </c>
      <c r="D2" s="10" cm="1">
        <f t="array" ref="D2:D30">C2:C30*(10^-3*1840)/60</f>
        <v>0.0214666666666667</v>
      </c>
      <c r="E2" s="15">
        <v>50662.5</v>
      </c>
      <c r="F2" s="15">
        <v>1</v>
      </c>
      <c r="H2" s="14">
        <f t="shared" ref="H2:H30" si="0">1</f>
        <v>1</v>
      </c>
      <c r="I2" s="14">
        <v>0.5</v>
      </c>
      <c r="J2" s="14">
        <f>1-(I2)/(H2)</f>
        <v>0.5</v>
      </c>
      <c r="K2" s="18">
        <f t="shared" ref="K2:K7" si="1">(H2*$B$34*$B$33)/($B$34*(H2*$B$33)/($B$35))</f>
        <v>5600</v>
      </c>
      <c r="L2" s="18">
        <f>1-(K2)/($B$35)</f>
        <v>0</v>
      </c>
      <c r="M2" s="14">
        <f>H2*(10^6)*3600/$B$35</f>
        <v>642857.142857143</v>
      </c>
      <c r="N2"/>
    </row>
    <row r="3" spans="1:14">
      <c r="A3" s="15">
        <v>2</v>
      </c>
      <c r="B3" s="15">
        <v>473</v>
      </c>
      <c r="C3" s="15">
        <v>0.7</v>
      </c>
      <c r="D3" s="10">
        <v>0.0214666666666667</v>
      </c>
      <c r="E3" s="15">
        <v>50662.5</v>
      </c>
      <c r="F3" s="15">
        <v>5</v>
      </c>
      <c r="H3" s="14">
        <f t="shared" si="0"/>
        <v>1</v>
      </c>
      <c r="I3" s="14">
        <v>0.5</v>
      </c>
      <c r="J3" s="14">
        <f t="shared" ref="J3:J30" si="2">1-(I3)/(H3)</f>
        <v>0.5</v>
      </c>
      <c r="K3" s="18">
        <f t="shared" si="1"/>
        <v>5600</v>
      </c>
      <c r="L3" s="18">
        <f t="shared" ref="L3:L30" si="3">1-(K3)/($B$35)</f>
        <v>0</v>
      </c>
      <c r="M3" s="14">
        <f t="shared" ref="M3:M30" si="4">H3*(10^6)*3600/$B$35</f>
        <v>642857.142857143</v>
      </c>
      <c r="N3"/>
    </row>
    <row r="4" spans="1:14">
      <c r="A4" s="15">
        <v>3</v>
      </c>
      <c r="B4" s="15">
        <v>473</v>
      </c>
      <c r="C4" s="15">
        <v>0.7</v>
      </c>
      <c r="D4" s="10">
        <v>0.0214666666666667</v>
      </c>
      <c r="E4" s="15">
        <v>253312.5</v>
      </c>
      <c r="F4" s="15">
        <v>1</v>
      </c>
      <c r="H4" s="14">
        <f t="shared" si="0"/>
        <v>1</v>
      </c>
      <c r="I4" s="14">
        <v>0.5</v>
      </c>
      <c r="J4" s="14">
        <f t="shared" si="2"/>
        <v>0.5</v>
      </c>
      <c r="K4" s="18">
        <f t="shared" si="1"/>
        <v>5600</v>
      </c>
      <c r="L4" s="18">
        <f t="shared" si="3"/>
        <v>0</v>
      </c>
      <c r="M4" s="14">
        <f t="shared" si="4"/>
        <v>642857.142857143</v>
      </c>
      <c r="N4"/>
    </row>
    <row r="5" spans="1:14">
      <c r="A5" s="15">
        <v>4</v>
      </c>
      <c r="B5" s="15">
        <v>473</v>
      </c>
      <c r="C5" s="15">
        <v>0.7</v>
      </c>
      <c r="D5" s="10">
        <v>0.0214666666666667</v>
      </c>
      <c r="E5" s="15">
        <v>253312.5</v>
      </c>
      <c r="F5" s="15">
        <v>5</v>
      </c>
      <c r="H5" s="14">
        <f t="shared" si="0"/>
        <v>1</v>
      </c>
      <c r="I5" s="14">
        <v>0.5</v>
      </c>
      <c r="J5" s="14">
        <f t="shared" si="2"/>
        <v>0.5</v>
      </c>
      <c r="K5" s="18">
        <f t="shared" si="1"/>
        <v>5600</v>
      </c>
      <c r="L5" s="18">
        <f t="shared" si="3"/>
        <v>0</v>
      </c>
      <c r="M5" s="14">
        <f t="shared" si="4"/>
        <v>642857.142857143</v>
      </c>
      <c r="N5"/>
    </row>
    <row r="6" spans="1:14">
      <c r="A6" s="15">
        <v>5</v>
      </c>
      <c r="B6" s="15">
        <v>473</v>
      </c>
      <c r="C6" s="15">
        <v>2.5</v>
      </c>
      <c r="D6" s="10">
        <v>0.0766666666666667</v>
      </c>
      <c r="E6" s="15">
        <v>50662.5</v>
      </c>
      <c r="F6" s="15">
        <v>1</v>
      </c>
      <c r="H6" s="14">
        <f t="shared" si="0"/>
        <v>1</v>
      </c>
      <c r="I6" s="14">
        <v>0.5</v>
      </c>
      <c r="J6" s="14">
        <f t="shared" si="2"/>
        <v>0.5</v>
      </c>
      <c r="K6" s="18">
        <f t="shared" si="1"/>
        <v>5600</v>
      </c>
      <c r="L6" s="18">
        <f t="shared" si="3"/>
        <v>0</v>
      </c>
      <c r="M6" s="14">
        <f t="shared" si="4"/>
        <v>642857.142857143</v>
      </c>
      <c r="N6"/>
    </row>
    <row r="7" spans="1:14">
      <c r="A7" s="15">
        <v>6</v>
      </c>
      <c r="B7" s="15">
        <v>473</v>
      </c>
      <c r="C7" s="15">
        <v>2.5</v>
      </c>
      <c r="D7" s="10">
        <v>0.0766666666666667</v>
      </c>
      <c r="E7" s="15">
        <v>50662.5</v>
      </c>
      <c r="F7" s="15">
        <v>5</v>
      </c>
      <c r="G7" s="11" t="s">
        <v>13</v>
      </c>
      <c r="H7" s="14">
        <v>1</v>
      </c>
      <c r="I7" s="14">
        <v>0.5</v>
      </c>
      <c r="J7" s="14">
        <f t="shared" si="2"/>
        <v>0.5</v>
      </c>
      <c r="K7" s="18">
        <f t="shared" si="1"/>
        <v>5600</v>
      </c>
      <c r="L7" s="18">
        <f t="shared" si="3"/>
        <v>0</v>
      </c>
      <c r="M7" s="14">
        <f t="shared" si="4"/>
        <v>642857.142857143</v>
      </c>
      <c r="N7"/>
    </row>
    <row r="8" spans="1:14">
      <c r="A8" s="15">
        <v>7</v>
      </c>
      <c r="B8" s="15">
        <v>473</v>
      </c>
      <c r="C8" s="15">
        <v>2.5</v>
      </c>
      <c r="D8" s="10">
        <v>0.0766666666666667</v>
      </c>
      <c r="E8" s="15">
        <v>253312.5</v>
      </c>
      <c r="F8" s="15">
        <v>1</v>
      </c>
      <c r="H8" s="14">
        <f t="shared" si="0"/>
        <v>1</v>
      </c>
      <c r="I8" s="14">
        <v>0.5</v>
      </c>
      <c r="J8" s="14">
        <f t="shared" si="2"/>
        <v>0.5</v>
      </c>
      <c r="K8" s="18">
        <f t="shared" ref="K8:K30" si="5">(H8*$B$34*$B$33)/($B$34*(H8*$B$33)/($B$35))</f>
        <v>5600</v>
      </c>
      <c r="L8" s="18">
        <f t="shared" si="3"/>
        <v>0</v>
      </c>
      <c r="M8" s="14">
        <f t="shared" si="4"/>
        <v>642857.142857143</v>
      </c>
      <c r="N8"/>
    </row>
    <row r="9" spans="1:14">
      <c r="A9" s="15">
        <v>8</v>
      </c>
      <c r="B9" s="15">
        <v>473</v>
      </c>
      <c r="C9" s="15">
        <v>2.5</v>
      </c>
      <c r="D9" s="10">
        <v>0.0766666666666667</v>
      </c>
      <c r="E9" s="15">
        <v>253312.5</v>
      </c>
      <c r="F9" s="15">
        <v>5</v>
      </c>
      <c r="H9" s="14">
        <f t="shared" si="0"/>
        <v>1</v>
      </c>
      <c r="I9" s="14">
        <v>0.5</v>
      </c>
      <c r="J9" s="14">
        <f t="shared" si="2"/>
        <v>0.5</v>
      </c>
      <c r="K9" s="18">
        <f t="shared" si="5"/>
        <v>5600</v>
      </c>
      <c r="L9" s="18">
        <f t="shared" si="3"/>
        <v>0</v>
      </c>
      <c r="M9" s="14">
        <f t="shared" si="4"/>
        <v>642857.142857143</v>
      </c>
      <c r="N9"/>
    </row>
    <row r="10" spans="1:14">
      <c r="A10" s="15">
        <v>9</v>
      </c>
      <c r="B10" s="15">
        <v>773</v>
      </c>
      <c r="C10" s="15">
        <v>0.7</v>
      </c>
      <c r="D10" s="10">
        <v>0.0214666666666667</v>
      </c>
      <c r="E10" s="15">
        <v>50662.5</v>
      </c>
      <c r="F10" s="15">
        <v>1</v>
      </c>
      <c r="H10" s="14">
        <f t="shared" si="0"/>
        <v>1</v>
      </c>
      <c r="I10" s="14">
        <v>0.5</v>
      </c>
      <c r="J10" s="14">
        <f t="shared" si="2"/>
        <v>0.5</v>
      </c>
      <c r="K10" s="18">
        <f t="shared" si="5"/>
        <v>5600</v>
      </c>
      <c r="L10" s="18">
        <f t="shared" si="3"/>
        <v>0</v>
      </c>
      <c r="M10" s="14">
        <f t="shared" si="4"/>
        <v>642857.142857143</v>
      </c>
      <c r="N10"/>
    </row>
    <row r="11" spans="1:14">
      <c r="A11" s="15">
        <v>10</v>
      </c>
      <c r="B11" s="15">
        <v>773</v>
      </c>
      <c r="C11" s="15">
        <v>0.7</v>
      </c>
      <c r="D11" s="10">
        <v>0.0214666666666667</v>
      </c>
      <c r="E11" s="15">
        <v>50662.5</v>
      </c>
      <c r="F11" s="15">
        <v>5</v>
      </c>
      <c r="H11" s="14">
        <f t="shared" si="0"/>
        <v>1</v>
      </c>
      <c r="I11" s="14">
        <v>0.5</v>
      </c>
      <c r="J11" s="14">
        <f t="shared" si="2"/>
        <v>0.5</v>
      </c>
      <c r="K11" s="18">
        <f t="shared" si="5"/>
        <v>5600</v>
      </c>
      <c r="L11" s="18">
        <f t="shared" si="3"/>
        <v>0</v>
      </c>
      <c r="M11" s="14">
        <f t="shared" si="4"/>
        <v>642857.142857143</v>
      </c>
      <c r="N11"/>
    </row>
    <row r="12" spans="1:14">
      <c r="A12" s="15">
        <v>11</v>
      </c>
      <c r="B12" s="15">
        <v>773</v>
      </c>
      <c r="C12" s="15">
        <v>0.7</v>
      </c>
      <c r="D12" s="10">
        <v>0.0214666666666667</v>
      </c>
      <c r="E12" s="15">
        <v>253312.5</v>
      </c>
      <c r="F12" s="15">
        <v>1</v>
      </c>
      <c r="H12" s="14">
        <f t="shared" si="0"/>
        <v>1</v>
      </c>
      <c r="I12" s="14">
        <v>0.5</v>
      </c>
      <c r="J12" s="14">
        <f t="shared" si="2"/>
        <v>0.5</v>
      </c>
      <c r="K12" s="18">
        <f t="shared" si="5"/>
        <v>5600</v>
      </c>
      <c r="L12" s="18">
        <f t="shared" si="3"/>
        <v>0</v>
      </c>
      <c r="M12" s="14">
        <f t="shared" si="4"/>
        <v>642857.142857143</v>
      </c>
      <c r="N12"/>
    </row>
    <row r="13" spans="1:14">
      <c r="A13" s="15">
        <v>12</v>
      </c>
      <c r="B13" s="15">
        <v>773</v>
      </c>
      <c r="C13" s="15">
        <v>0.7</v>
      </c>
      <c r="D13" s="10">
        <v>0.0214666666666667</v>
      </c>
      <c r="E13" s="15">
        <v>253312.5</v>
      </c>
      <c r="F13" s="15">
        <v>5</v>
      </c>
      <c r="H13" s="14">
        <f t="shared" si="0"/>
        <v>1</v>
      </c>
      <c r="I13" s="14">
        <v>0.5</v>
      </c>
      <c r="J13" s="14">
        <f t="shared" si="2"/>
        <v>0.5</v>
      </c>
      <c r="K13" s="18">
        <f t="shared" si="5"/>
        <v>5600</v>
      </c>
      <c r="L13" s="18">
        <f t="shared" si="3"/>
        <v>0</v>
      </c>
      <c r="M13" s="14">
        <f t="shared" si="4"/>
        <v>642857.142857143</v>
      </c>
      <c r="N13"/>
    </row>
    <row r="14" spans="1:14">
      <c r="A14" s="15">
        <v>13</v>
      </c>
      <c r="B14" s="15">
        <v>773</v>
      </c>
      <c r="C14" s="15">
        <v>2.5</v>
      </c>
      <c r="D14" s="10">
        <v>0.0766666666666667</v>
      </c>
      <c r="E14" s="15">
        <v>50662.5</v>
      </c>
      <c r="F14" s="15">
        <v>1</v>
      </c>
      <c r="H14" s="14">
        <f t="shared" si="0"/>
        <v>1</v>
      </c>
      <c r="I14" s="14">
        <v>0.5</v>
      </c>
      <c r="J14" s="14">
        <f t="shared" si="2"/>
        <v>0.5</v>
      </c>
      <c r="K14" s="18">
        <f t="shared" si="5"/>
        <v>5600</v>
      </c>
      <c r="L14" s="18">
        <f t="shared" si="3"/>
        <v>0</v>
      </c>
      <c r="M14" s="14">
        <f t="shared" si="4"/>
        <v>642857.142857143</v>
      </c>
      <c r="N14"/>
    </row>
    <row r="15" spans="1:14">
      <c r="A15" s="15">
        <v>14</v>
      </c>
      <c r="B15" s="15">
        <v>773</v>
      </c>
      <c r="C15" s="15">
        <v>2.5</v>
      </c>
      <c r="D15" s="10">
        <v>0.0766666666666667</v>
      </c>
      <c r="E15" s="15">
        <v>50662.5</v>
      </c>
      <c r="F15" s="15">
        <v>5</v>
      </c>
      <c r="H15" s="14">
        <f t="shared" si="0"/>
        <v>1</v>
      </c>
      <c r="I15" s="14">
        <v>0.5</v>
      </c>
      <c r="J15" s="14">
        <f t="shared" si="2"/>
        <v>0.5</v>
      </c>
      <c r="K15" s="18">
        <f t="shared" si="5"/>
        <v>5600</v>
      </c>
      <c r="L15" s="18">
        <f t="shared" si="3"/>
        <v>0</v>
      </c>
      <c r="M15" s="14">
        <f t="shared" si="4"/>
        <v>642857.142857143</v>
      </c>
      <c r="N15"/>
    </row>
    <row r="16" spans="1:14">
      <c r="A16" s="15">
        <v>15</v>
      </c>
      <c r="B16" s="15">
        <v>773</v>
      </c>
      <c r="C16" s="15">
        <v>2.5</v>
      </c>
      <c r="D16" s="10">
        <v>0.0766666666666667</v>
      </c>
      <c r="E16" s="15">
        <v>253312.5</v>
      </c>
      <c r="F16" s="15">
        <v>1</v>
      </c>
      <c r="H16" s="14">
        <f t="shared" si="0"/>
        <v>1</v>
      </c>
      <c r="I16" s="14">
        <v>0.5</v>
      </c>
      <c r="J16" s="14">
        <f t="shared" si="2"/>
        <v>0.5</v>
      </c>
      <c r="K16" s="18">
        <f t="shared" si="5"/>
        <v>5600</v>
      </c>
      <c r="L16" s="18">
        <f t="shared" si="3"/>
        <v>0</v>
      </c>
      <c r="M16" s="14">
        <f t="shared" si="4"/>
        <v>642857.142857143</v>
      </c>
      <c r="N16"/>
    </row>
    <row r="17" spans="1:14">
      <c r="A17" s="15">
        <v>16</v>
      </c>
      <c r="B17" s="15">
        <v>773</v>
      </c>
      <c r="C17" s="15">
        <v>2.5</v>
      </c>
      <c r="D17" s="10">
        <v>0.0766666666666667</v>
      </c>
      <c r="E17" s="15">
        <v>253312.5</v>
      </c>
      <c r="F17" s="15">
        <v>5</v>
      </c>
      <c r="H17" s="14">
        <f t="shared" si="0"/>
        <v>1</v>
      </c>
      <c r="I17" s="14">
        <v>0.5</v>
      </c>
      <c r="J17" s="14">
        <f t="shared" si="2"/>
        <v>0.5</v>
      </c>
      <c r="K17" s="18">
        <f t="shared" si="5"/>
        <v>5600</v>
      </c>
      <c r="L17" s="18">
        <f t="shared" si="3"/>
        <v>0</v>
      </c>
      <c r="M17" s="14">
        <f t="shared" si="4"/>
        <v>642857.142857143</v>
      </c>
      <c r="N17"/>
    </row>
    <row r="18" spans="1:14">
      <c r="A18" s="15">
        <v>17</v>
      </c>
      <c r="B18" s="15" t="s">
        <v>14</v>
      </c>
      <c r="C18" s="15">
        <v>1.6</v>
      </c>
      <c r="D18" s="10">
        <v>0.0490666666666667</v>
      </c>
      <c r="E18" s="15">
        <v>151987.5</v>
      </c>
      <c r="F18" s="15">
        <v>3</v>
      </c>
      <c r="H18" s="14">
        <f t="shared" si="0"/>
        <v>1</v>
      </c>
      <c r="I18" s="14">
        <v>0.5</v>
      </c>
      <c r="J18" s="14">
        <f t="shared" si="2"/>
        <v>0.5</v>
      </c>
      <c r="K18" s="18">
        <f t="shared" si="5"/>
        <v>5600</v>
      </c>
      <c r="L18" s="18">
        <f t="shared" si="3"/>
        <v>0</v>
      </c>
      <c r="M18" s="14">
        <f t="shared" si="4"/>
        <v>642857.142857143</v>
      </c>
      <c r="N18"/>
    </row>
    <row r="19" spans="1:14">
      <c r="A19" s="15">
        <v>18</v>
      </c>
      <c r="B19" s="15" t="s">
        <v>15</v>
      </c>
      <c r="C19" s="15">
        <v>1.6</v>
      </c>
      <c r="D19" s="10">
        <v>0.0490666666666667</v>
      </c>
      <c r="E19" s="15">
        <v>151987.5</v>
      </c>
      <c r="F19" s="15">
        <v>3</v>
      </c>
      <c r="H19" s="14">
        <f t="shared" si="0"/>
        <v>1</v>
      </c>
      <c r="I19" s="14">
        <v>0.5</v>
      </c>
      <c r="J19" s="14">
        <f t="shared" si="2"/>
        <v>0.5</v>
      </c>
      <c r="K19" s="18">
        <f t="shared" si="5"/>
        <v>5600</v>
      </c>
      <c r="L19" s="18">
        <f t="shared" si="3"/>
        <v>0</v>
      </c>
      <c r="M19" s="14">
        <f t="shared" si="4"/>
        <v>642857.142857143</v>
      </c>
      <c r="N19"/>
    </row>
    <row r="20" spans="1:14">
      <c r="A20" s="15">
        <v>19</v>
      </c>
      <c r="B20" s="15">
        <v>623</v>
      </c>
      <c r="C20" s="15">
        <v>0.1</v>
      </c>
      <c r="D20" s="10">
        <v>0.00306666666666667</v>
      </c>
      <c r="E20" s="15">
        <v>151987.5</v>
      </c>
      <c r="F20" s="15">
        <v>3</v>
      </c>
      <c r="H20" s="14">
        <f t="shared" si="0"/>
        <v>1</v>
      </c>
      <c r="I20" s="14">
        <v>0.5</v>
      </c>
      <c r="J20" s="14">
        <f t="shared" si="2"/>
        <v>0.5</v>
      </c>
      <c r="K20" s="18">
        <f t="shared" si="5"/>
        <v>5600</v>
      </c>
      <c r="L20" s="18">
        <f t="shared" si="3"/>
        <v>0</v>
      </c>
      <c r="M20" s="14">
        <f t="shared" si="4"/>
        <v>642857.142857143</v>
      </c>
      <c r="N20"/>
    </row>
    <row r="21" spans="1:14">
      <c r="A21" s="15">
        <v>20</v>
      </c>
      <c r="B21" s="15">
        <v>623</v>
      </c>
      <c r="C21" s="15">
        <v>3.1</v>
      </c>
      <c r="D21" s="10">
        <v>0.0950666666666667</v>
      </c>
      <c r="E21" s="15">
        <v>151987.5</v>
      </c>
      <c r="F21" s="15">
        <v>3</v>
      </c>
      <c r="H21" s="14">
        <f t="shared" si="0"/>
        <v>1</v>
      </c>
      <c r="I21" s="14">
        <v>0.5</v>
      </c>
      <c r="J21" s="14">
        <f t="shared" si="2"/>
        <v>0.5</v>
      </c>
      <c r="K21" s="18">
        <f t="shared" si="5"/>
        <v>5600</v>
      </c>
      <c r="L21" s="18">
        <f t="shared" si="3"/>
        <v>0</v>
      </c>
      <c r="M21" s="14">
        <f t="shared" si="4"/>
        <v>642857.142857143</v>
      </c>
      <c r="N21"/>
    </row>
    <row r="22" spans="1:14">
      <c r="A22" s="15">
        <v>21</v>
      </c>
      <c r="B22" s="15">
        <v>623</v>
      </c>
      <c r="C22" s="15">
        <v>1.6</v>
      </c>
      <c r="D22" s="10">
        <v>0.0490666666666667</v>
      </c>
      <c r="E22" s="15">
        <v>10132.5</v>
      </c>
      <c r="F22" s="15">
        <v>3</v>
      </c>
      <c r="H22" s="14">
        <f t="shared" si="0"/>
        <v>1</v>
      </c>
      <c r="I22" s="14">
        <v>0.5</v>
      </c>
      <c r="J22" s="14">
        <f t="shared" si="2"/>
        <v>0.5</v>
      </c>
      <c r="K22" s="18">
        <f t="shared" si="5"/>
        <v>5600</v>
      </c>
      <c r="L22" s="18">
        <f t="shared" si="3"/>
        <v>0</v>
      </c>
      <c r="M22" s="14">
        <f t="shared" si="4"/>
        <v>642857.142857143</v>
      </c>
      <c r="N22"/>
    </row>
    <row r="23" spans="1:14">
      <c r="A23" s="15">
        <v>22</v>
      </c>
      <c r="B23" s="15">
        <v>623</v>
      </c>
      <c r="C23" s="15">
        <v>1.6</v>
      </c>
      <c r="D23" s="10">
        <v>0.0490666666666667</v>
      </c>
      <c r="E23" s="15">
        <v>293842.5</v>
      </c>
      <c r="F23" s="15">
        <v>3</v>
      </c>
      <c r="H23" s="14">
        <f t="shared" si="0"/>
        <v>1</v>
      </c>
      <c r="I23" s="14">
        <v>0.5</v>
      </c>
      <c r="J23" s="14">
        <f t="shared" si="2"/>
        <v>0.5</v>
      </c>
      <c r="K23" s="18">
        <f t="shared" si="5"/>
        <v>5600</v>
      </c>
      <c r="L23" s="18">
        <f t="shared" si="3"/>
        <v>0</v>
      </c>
      <c r="M23" s="14">
        <f t="shared" si="4"/>
        <v>642857.142857143</v>
      </c>
      <c r="N23"/>
    </row>
    <row r="24" spans="1:14">
      <c r="A24" s="15">
        <v>23</v>
      </c>
      <c r="B24" s="15">
        <v>623</v>
      </c>
      <c r="C24" s="15">
        <v>1.6</v>
      </c>
      <c r="D24" s="10">
        <v>0.0490666666666667</v>
      </c>
      <c r="E24" s="15">
        <v>151987.5</v>
      </c>
      <c r="F24" s="15" t="s">
        <v>16</v>
      </c>
      <c r="H24" s="14">
        <f t="shared" si="0"/>
        <v>1</v>
      </c>
      <c r="I24" s="14">
        <v>0.5</v>
      </c>
      <c r="J24" s="14">
        <f t="shared" si="2"/>
        <v>0.5</v>
      </c>
      <c r="K24" s="18">
        <f t="shared" si="5"/>
        <v>5600</v>
      </c>
      <c r="L24" s="18">
        <f t="shared" si="3"/>
        <v>0</v>
      </c>
      <c r="M24" s="14">
        <f t="shared" si="4"/>
        <v>642857.142857143</v>
      </c>
      <c r="N24"/>
    </row>
    <row r="25" spans="1:14">
      <c r="A25" s="15">
        <v>24</v>
      </c>
      <c r="B25" s="15">
        <v>623</v>
      </c>
      <c r="C25" s="15">
        <v>1.6</v>
      </c>
      <c r="D25" s="10">
        <v>0.0490666666666667</v>
      </c>
      <c r="E25" s="15">
        <v>151987.5</v>
      </c>
      <c r="F25" s="15" t="s">
        <v>17</v>
      </c>
      <c r="H25" s="14">
        <f t="shared" si="0"/>
        <v>1</v>
      </c>
      <c r="I25" s="14">
        <v>0.5</v>
      </c>
      <c r="J25" s="14">
        <f t="shared" si="2"/>
        <v>0.5</v>
      </c>
      <c r="K25" s="18">
        <f t="shared" si="5"/>
        <v>5600</v>
      </c>
      <c r="L25" s="18">
        <f t="shared" si="3"/>
        <v>0</v>
      </c>
      <c r="M25" s="14">
        <f t="shared" si="4"/>
        <v>642857.142857143</v>
      </c>
      <c r="N25"/>
    </row>
    <row r="26" spans="1:13">
      <c r="A26" s="15">
        <v>25</v>
      </c>
      <c r="B26" s="15" t="s">
        <v>18</v>
      </c>
      <c r="C26" s="15">
        <v>1.6</v>
      </c>
      <c r="D26" s="10">
        <v>0.0490666666666667</v>
      </c>
      <c r="E26" s="15">
        <v>151987.5</v>
      </c>
      <c r="F26" s="15">
        <v>3</v>
      </c>
      <c r="H26" s="14">
        <f t="shared" si="0"/>
        <v>1</v>
      </c>
      <c r="I26" s="14">
        <v>0.5</v>
      </c>
      <c r="J26" s="14">
        <f t="shared" si="2"/>
        <v>0.5</v>
      </c>
      <c r="K26" s="18">
        <f t="shared" si="5"/>
        <v>5600</v>
      </c>
      <c r="L26" s="18">
        <f t="shared" si="3"/>
        <v>0</v>
      </c>
      <c r="M26" s="14">
        <f t="shared" si="4"/>
        <v>642857.142857143</v>
      </c>
    </row>
    <row r="27" spans="1:15">
      <c r="A27" s="15">
        <v>26</v>
      </c>
      <c r="B27" s="15" t="s">
        <v>18</v>
      </c>
      <c r="C27" s="15">
        <v>1.6</v>
      </c>
      <c r="D27" s="10">
        <v>0.0490666666666667</v>
      </c>
      <c r="E27" s="15">
        <v>151987.5</v>
      </c>
      <c r="F27" s="15">
        <v>3</v>
      </c>
      <c r="H27" s="14">
        <f t="shared" si="0"/>
        <v>1</v>
      </c>
      <c r="I27" s="14">
        <v>0.5</v>
      </c>
      <c r="J27" s="14">
        <f t="shared" si="2"/>
        <v>0.5</v>
      </c>
      <c r="K27" s="18">
        <f t="shared" si="5"/>
        <v>5600</v>
      </c>
      <c r="L27" s="18">
        <f t="shared" si="3"/>
        <v>0</v>
      </c>
      <c r="M27" s="14">
        <f t="shared" si="4"/>
        <v>642857.142857143</v>
      </c>
      <c r="N27" s="3"/>
      <c r="O27" s="1"/>
    </row>
    <row r="28" spans="1:13">
      <c r="A28" s="15">
        <v>27</v>
      </c>
      <c r="B28" s="15" t="s">
        <v>18</v>
      </c>
      <c r="C28" s="15">
        <v>1.6</v>
      </c>
      <c r="D28" s="10">
        <v>0.0490666666666667</v>
      </c>
      <c r="E28" s="15">
        <v>151987.5</v>
      </c>
      <c r="F28" s="15">
        <v>3</v>
      </c>
      <c r="H28" s="14">
        <f t="shared" si="0"/>
        <v>1</v>
      </c>
      <c r="I28" s="14">
        <v>0.5</v>
      </c>
      <c r="J28" s="14">
        <f t="shared" si="2"/>
        <v>0.5</v>
      </c>
      <c r="K28" s="18">
        <f t="shared" si="5"/>
        <v>5600</v>
      </c>
      <c r="L28" s="18">
        <f t="shared" si="3"/>
        <v>0</v>
      </c>
      <c r="M28" s="14">
        <f t="shared" si="4"/>
        <v>642857.142857143</v>
      </c>
    </row>
    <row r="29" spans="1:13">
      <c r="A29" s="15">
        <v>28</v>
      </c>
      <c r="B29" s="15" t="s">
        <v>18</v>
      </c>
      <c r="C29" s="15">
        <v>1.6</v>
      </c>
      <c r="D29" s="10">
        <v>0.0490666666666667</v>
      </c>
      <c r="E29" s="15">
        <v>151987.5</v>
      </c>
      <c r="F29" s="15">
        <v>3</v>
      </c>
      <c r="H29" s="14">
        <f t="shared" si="0"/>
        <v>1</v>
      </c>
      <c r="I29" s="14">
        <v>0.5</v>
      </c>
      <c r="J29" s="14">
        <f t="shared" si="2"/>
        <v>0.5</v>
      </c>
      <c r="K29" s="18">
        <f t="shared" si="5"/>
        <v>5600</v>
      </c>
      <c r="L29" s="18">
        <f t="shared" si="3"/>
        <v>0</v>
      </c>
      <c r="M29" s="14">
        <f t="shared" si="4"/>
        <v>642857.142857143</v>
      </c>
    </row>
    <row r="30" spans="1:13">
      <c r="A30" s="15">
        <v>29</v>
      </c>
      <c r="B30" s="15" t="s">
        <v>18</v>
      </c>
      <c r="C30" s="15">
        <v>1.6</v>
      </c>
      <c r="D30" s="10">
        <v>0.0490666666666667</v>
      </c>
      <c r="E30" s="15">
        <v>151987.5</v>
      </c>
      <c r="F30" s="15">
        <v>3</v>
      </c>
      <c r="H30" s="14">
        <f t="shared" si="0"/>
        <v>1</v>
      </c>
      <c r="I30" s="14">
        <v>0.5</v>
      </c>
      <c r="J30" s="14">
        <f t="shared" si="2"/>
        <v>0.5</v>
      </c>
      <c r="K30" s="18">
        <f t="shared" si="5"/>
        <v>5600</v>
      </c>
      <c r="L30" s="18">
        <f t="shared" si="3"/>
        <v>0</v>
      </c>
      <c r="M30" s="14">
        <f t="shared" si="4"/>
        <v>642857.142857143</v>
      </c>
    </row>
    <row r="31" spans="13:13">
      <c r="M31" s="4"/>
    </row>
    <row r="32" spans="13:13">
      <c r="M32" s="4"/>
    </row>
    <row r="33" spans="1:13">
      <c r="A33" t="s">
        <v>19</v>
      </c>
      <c r="B33">
        <v>2</v>
      </c>
      <c r="M33" s="4"/>
    </row>
    <row r="34" spans="1:13">
      <c r="A34" t="s">
        <v>20</v>
      </c>
      <c r="B34">
        <v>0.001</v>
      </c>
      <c r="M34" s="4"/>
    </row>
    <row r="35" spans="1:13">
      <c r="A35" s="16" t="s">
        <v>21</v>
      </c>
      <c r="B35">
        <v>5600</v>
      </c>
      <c r="M35" s="4"/>
    </row>
    <row r="36" spans="13:13">
      <c r="M36" s="4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6"/>
  <sheetViews>
    <sheetView workbookViewId="0">
      <selection activeCell="G28" sqref="G28"/>
    </sheetView>
  </sheetViews>
  <sheetFormatPr defaultColWidth="9.14285714285714" defaultRowHeight="15"/>
  <cols>
    <col min="2" max="2" width="36" customWidth="1"/>
    <col min="3" max="3" width="9.14285714285714" customWidth="1"/>
    <col min="4" max="4" width="38.8571428571429" customWidth="1"/>
    <col min="6" max="8" width="43" customWidth="1"/>
    <col min="10" max="10" width="36" customWidth="1"/>
    <col min="11" max="11" width="11.5714285714286" customWidth="1"/>
    <col min="12" max="12" width="38.8571428571429" customWidth="1"/>
  </cols>
  <sheetData>
    <row r="2" spans="2:3">
      <c r="B2" s="1"/>
      <c r="C2" s="2"/>
    </row>
    <row r="3" spans="2:3">
      <c r="B3" s="1" t="s">
        <v>22</v>
      </c>
      <c r="C3" s="2"/>
    </row>
    <row r="4" spans="2:4">
      <c r="B4" s="1" t="s">
        <v>23</v>
      </c>
      <c r="C4" s="3" t="s">
        <v>24</v>
      </c>
      <c r="D4" s="1" t="s">
        <v>25</v>
      </c>
    </row>
    <row r="5" spans="2:4">
      <c r="B5" s="4" t="s">
        <v>26</v>
      </c>
      <c r="C5" s="2">
        <v>5600</v>
      </c>
      <c r="D5" t="s">
        <v>27</v>
      </c>
    </row>
    <row r="6" spans="2:4">
      <c r="B6" s="4" t="s">
        <v>28</v>
      </c>
      <c r="C6" s="2">
        <v>495</v>
      </c>
      <c r="D6" t="s">
        <v>29</v>
      </c>
    </row>
    <row r="7" ht="15.75" spans="2:4">
      <c r="B7" s="4" t="s">
        <v>30</v>
      </c>
      <c r="C7" s="2" t="s">
        <v>31</v>
      </c>
      <c r="D7" t="s">
        <v>32</v>
      </c>
    </row>
    <row r="8" ht="30.75" spans="2:8">
      <c r="B8" s="4" t="s">
        <v>33</v>
      </c>
      <c r="C8" s="2" t="s">
        <v>34</v>
      </c>
      <c r="D8" t="s">
        <v>35</v>
      </c>
      <c r="F8" s="5"/>
      <c r="G8" s="6" t="s">
        <v>36</v>
      </c>
      <c r="H8" s="6" t="s">
        <v>37</v>
      </c>
    </row>
    <row r="9" ht="16.5" spans="2:10">
      <c r="B9" s="4" t="s">
        <v>38</v>
      </c>
      <c r="C9" s="2">
        <v>81.38</v>
      </c>
      <c r="D9" t="s">
        <v>39</v>
      </c>
      <c r="F9" s="7" t="s">
        <v>40</v>
      </c>
      <c r="G9" s="8">
        <v>1735</v>
      </c>
      <c r="H9" s="8">
        <v>5600</v>
      </c>
      <c r="J9" t="s">
        <v>41</v>
      </c>
    </row>
    <row r="10" ht="30.75" spans="2:8">
      <c r="B10" s="4" t="s">
        <v>42</v>
      </c>
      <c r="C10" s="2" t="s">
        <v>43</v>
      </c>
      <c r="D10" t="s">
        <v>44</v>
      </c>
      <c r="F10" s="7" t="s">
        <v>45</v>
      </c>
      <c r="G10" s="8">
        <v>969.48</v>
      </c>
      <c r="H10" s="8">
        <v>495</v>
      </c>
    </row>
    <row r="11" ht="16.5" spans="2:12">
      <c r="B11" s="4" t="s">
        <v>46</v>
      </c>
      <c r="C11" s="2" t="s">
        <v>47</v>
      </c>
      <c r="D11" t="s">
        <v>44</v>
      </c>
      <c r="F11" s="7" t="s">
        <v>48</v>
      </c>
      <c r="G11" s="9" t="s">
        <v>49</v>
      </c>
      <c r="H11" s="8">
        <v>60</v>
      </c>
      <c r="J11" t="s">
        <v>23</v>
      </c>
      <c r="K11" t="s">
        <v>24</v>
      </c>
      <c r="L11" t="s">
        <v>50</v>
      </c>
    </row>
    <row r="12" ht="16.5" spans="2:12">
      <c r="B12" s="4" t="s">
        <v>51</v>
      </c>
      <c r="C12" s="2">
        <v>3.8</v>
      </c>
      <c r="D12" t="s">
        <v>52</v>
      </c>
      <c r="F12" s="7" t="s">
        <v>53</v>
      </c>
      <c r="G12" s="9" t="s">
        <v>49</v>
      </c>
      <c r="H12" s="9" t="s">
        <v>49</v>
      </c>
      <c r="J12" t="s">
        <v>26</v>
      </c>
      <c r="K12">
        <v>1840</v>
      </c>
      <c r="L12" t="s">
        <v>54</v>
      </c>
    </row>
    <row r="13" ht="16.5" spans="2:12">
      <c r="B13" s="4" t="s">
        <v>55</v>
      </c>
      <c r="C13" s="2">
        <v>2300</v>
      </c>
      <c r="D13" t="s">
        <v>56</v>
      </c>
      <c r="F13" s="7" t="s">
        <v>57</v>
      </c>
      <c r="G13" s="8">
        <v>219.5</v>
      </c>
      <c r="H13" s="8">
        <v>81.4</v>
      </c>
      <c r="J13" t="s">
        <v>28</v>
      </c>
      <c r="K13">
        <v>1200</v>
      </c>
      <c r="L13" t="s">
        <v>58</v>
      </c>
    </row>
    <row r="14" ht="16.5" spans="2:12">
      <c r="B14" s="1"/>
      <c r="C14" s="2"/>
      <c r="F14" s="7" t="s">
        <v>59</v>
      </c>
      <c r="G14" s="9">
        <v>0</v>
      </c>
      <c r="H14" s="8" t="s">
        <v>60</v>
      </c>
      <c r="J14" t="s">
        <v>30</v>
      </c>
      <c r="K14">
        <v>0.5</v>
      </c>
      <c r="L14" t="s">
        <v>61</v>
      </c>
    </row>
    <row r="15" ht="16.5" spans="2:12">
      <c r="B15" s="1" t="s">
        <v>41</v>
      </c>
      <c r="C15" s="2"/>
      <c r="F15" s="7" t="s">
        <v>62</v>
      </c>
      <c r="G15" s="9">
        <v>0</v>
      </c>
      <c r="H15" s="8" t="s">
        <v>63</v>
      </c>
      <c r="J15" t="s">
        <v>33</v>
      </c>
      <c r="K15" t="s">
        <v>34</v>
      </c>
      <c r="L15" t="s">
        <v>35</v>
      </c>
    </row>
    <row r="16" ht="16.5" spans="2:12">
      <c r="B16" s="1" t="s">
        <v>23</v>
      </c>
      <c r="C16" s="3" t="s">
        <v>24</v>
      </c>
      <c r="D16" s="1" t="s">
        <v>50</v>
      </c>
      <c r="F16" s="7" t="s">
        <v>64</v>
      </c>
      <c r="G16" s="9">
        <v>3.941</v>
      </c>
      <c r="H16" s="9">
        <v>3.941</v>
      </c>
      <c r="J16" t="s">
        <v>38</v>
      </c>
      <c r="K16">
        <v>183.48</v>
      </c>
      <c r="L16" t="s">
        <v>65</v>
      </c>
    </row>
    <row r="17" ht="16.5" spans="2:12">
      <c r="B17" s="4" t="s">
        <v>26</v>
      </c>
      <c r="C17" s="2">
        <v>1840</v>
      </c>
      <c r="D17" t="s">
        <v>54</v>
      </c>
      <c r="F17" s="7" t="s">
        <v>66</v>
      </c>
      <c r="G17" s="9">
        <v>195.2</v>
      </c>
      <c r="H17" s="9">
        <v>195.2</v>
      </c>
      <c r="J17" t="s">
        <v>42</v>
      </c>
      <c r="K17" t="s">
        <v>67</v>
      </c>
      <c r="L17" t="s">
        <v>68</v>
      </c>
    </row>
    <row r="18" spans="2:12">
      <c r="B18" s="4" t="s">
        <v>28</v>
      </c>
      <c r="C18" s="2">
        <v>1200</v>
      </c>
      <c r="D18" t="s">
        <v>58</v>
      </c>
      <c r="J18" t="s">
        <v>46</v>
      </c>
      <c r="K18" t="s">
        <v>69</v>
      </c>
      <c r="L18" t="s">
        <v>70</v>
      </c>
    </row>
    <row r="19" spans="2:12">
      <c r="B19" s="4" t="s">
        <v>30</v>
      </c>
      <c r="C19" s="2">
        <v>0.5</v>
      </c>
      <c r="D19" t="s">
        <v>61</v>
      </c>
      <c r="J19" t="s">
        <v>51</v>
      </c>
      <c r="K19">
        <v>5.2</v>
      </c>
      <c r="L19" t="s">
        <v>71</v>
      </c>
    </row>
    <row r="20" ht="30" spans="2:12">
      <c r="B20" s="4" t="s">
        <v>33</v>
      </c>
      <c r="C20" s="2" t="s">
        <v>34</v>
      </c>
      <c r="D20" t="s">
        <v>35</v>
      </c>
      <c r="J20" t="s">
        <v>55</v>
      </c>
      <c r="K20">
        <v>450</v>
      </c>
      <c r="L20" t="s">
        <v>72</v>
      </c>
    </row>
    <row r="21" spans="2:4">
      <c r="B21" s="4" t="s">
        <v>38</v>
      </c>
      <c r="C21" s="2">
        <v>183.48</v>
      </c>
      <c r="D21" t="s">
        <v>65</v>
      </c>
    </row>
    <row r="22" ht="30" spans="2:4">
      <c r="B22" s="4" t="s">
        <v>42</v>
      </c>
      <c r="C22" s="2" t="s">
        <v>67</v>
      </c>
      <c r="D22" t="s">
        <v>68</v>
      </c>
    </row>
    <row r="23" spans="2:4">
      <c r="B23" s="4" t="s">
        <v>46</v>
      </c>
      <c r="C23" s="2" t="s">
        <v>69</v>
      </c>
      <c r="D23" t="s">
        <v>70</v>
      </c>
    </row>
    <row r="24" spans="2:4">
      <c r="B24" s="4" t="s">
        <v>51</v>
      </c>
      <c r="C24" s="2">
        <v>5.2</v>
      </c>
      <c r="D24" t="s">
        <v>71</v>
      </c>
    </row>
    <row r="25" spans="2:4">
      <c r="B25" s="4" t="s">
        <v>55</v>
      </c>
      <c r="C25" s="2">
        <v>450</v>
      </c>
      <c r="D25" t="s">
        <v>72</v>
      </c>
    </row>
    <row r="26" spans="2:3">
      <c r="B26" s="1"/>
      <c r="C2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gbola</dc:creator>
  <cp:lastModifiedBy>gbola</cp:lastModifiedBy>
  <dcterms:created xsi:type="dcterms:W3CDTF">2025-03-28T10:39:00Z</dcterms:created>
  <dcterms:modified xsi:type="dcterms:W3CDTF">2025-04-16T00:35:58Z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42601C9910554B9380236F10FA052EFA_11</vt:lpwstr>
  </property>
  <property fmtid="{D5CDD505-2E9C-101B-9397-08002B2CF9AE}" pid="3" name="KSOProductBuildVer">
    <vt:lpwstr>1033-12.2.0.20795</vt:lpwstr>
  </property>
</Properties>
</file>